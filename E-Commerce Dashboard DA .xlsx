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 database" sheetId="1" r:id="rId5"/>
    <sheet state="visible" name="Pivot Table 9" sheetId="2" r:id="rId6"/>
    <sheet state="visible" name="Pivot Table 8" sheetId="3" r:id="rId7"/>
    <sheet state="visible" name="Pivot Table 7" sheetId="4" r:id="rId8"/>
    <sheet state="visible" name="Pivot Table 6" sheetId="5" r:id="rId9"/>
    <sheet state="visible" name="Pivot Table 5" sheetId="6" r:id="rId10"/>
    <sheet state="visible" name="Pivot Table 4" sheetId="7" r:id="rId11"/>
    <sheet state="visible" name="Pivot Table 3" sheetId="8" r:id="rId12"/>
    <sheet state="visible" name="Pivot Table 2" sheetId="9" r:id="rId13"/>
    <sheet state="visible" name="Pivot Table 1" sheetId="10" r:id="rId14"/>
    <sheet state="visible" name="analysis" sheetId="11" r:id="rId15"/>
    <sheet state="visible" name="TopBottom Analysis" sheetId="12" r:id="rId16"/>
    <sheet state="visible" name="E-Commerce Dashboard" sheetId="13" r:id="rId17"/>
  </sheets>
  <definedNames/>
  <calcPr/>
  <pivotCaches>
    <pivotCache cacheId="0" r:id="rId18"/>
    <pivotCache cacheId="1" r:id="rId19"/>
  </pivotCaches>
</workbook>
</file>

<file path=xl/sharedStrings.xml><?xml version="1.0" encoding="utf-8"?>
<sst xmlns="http://schemas.openxmlformats.org/spreadsheetml/2006/main" count="288" uniqueCount="145">
  <si>
    <t>Order_ID</t>
  </si>
  <si>
    <t>Order_Date</t>
  </si>
  <si>
    <t>Customer_ID</t>
  </si>
  <si>
    <t>Product</t>
  </si>
  <si>
    <t>Category</t>
  </si>
  <si>
    <t>Region</t>
  </si>
  <si>
    <t>Quantity</t>
  </si>
  <si>
    <t>Unit_Price</t>
  </si>
  <si>
    <t>Discount</t>
  </si>
  <si>
    <t>Payment_Method</t>
  </si>
  <si>
    <t>Gross_Sales</t>
  </si>
  <si>
    <t>Discount_Amount</t>
  </si>
  <si>
    <t>Net_Sales</t>
  </si>
  <si>
    <t>Cost_Price</t>
  </si>
  <si>
    <t>Profit</t>
  </si>
  <si>
    <t>Month</t>
  </si>
  <si>
    <t>Month_Number</t>
  </si>
  <si>
    <t>C001</t>
  </si>
  <si>
    <t>Laptop</t>
  </si>
  <si>
    <t>Electronics</t>
  </si>
  <si>
    <t>North</t>
  </si>
  <si>
    <t>UPI</t>
  </si>
  <si>
    <t>SUM of Quantity</t>
  </si>
  <si>
    <t>T-Shirt</t>
  </si>
  <si>
    <t>Table Lamp</t>
  </si>
  <si>
    <t>SUM of Net_Sales</t>
  </si>
  <si>
    <t>COUNTA of Order_ID</t>
  </si>
  <si>
    <t>Running Shoes</t>
  </si>
  <si>
    <t>Keyboard</t>
  </si>
  <si>
    <t>Jeans</t>
  </si>
  <si>
    <t>Backpack</t>
  </si>
  <si>
    <t>C002</t>
  </si>
  <si>
    <t>Watch</t>
  </si>
  <si>
    <t>Fashion</t>
  </si>
  <si>
    <t>South</t>
  </si>
  <si>
    <t>Tablet</t>
  </si>
  <si>
    <t>Smartphone</t>
  </si>
  <si>
    <t>Card</t>
  </si>
  <si>
    <t>Office Chair</t>
  </si>
  <si>
    <t>Monitor</t>
  </si>
  <si>
    <t>SUM of Profit</t>
  </si>
  <si>
    <t>Headphones</t>
  </si>
  <si>
    <t>Handbag</t>
  </si>
  <si>
    <t>Grand Total</t>
  </si>
  <si>
    <t>Profit Margin</t>
  </si>
  <si>
    <t>Coffee Maker</t>
  </si>
  <si>
    <t>C003</t>
  </si>
  <si>
    <t>Discount Analysis</t>
  </si>
  <si>
    <t>East</t>
  </si>
  <si>
    <t>Quantity Analysis</t>
  </si>
  <si>
    <t>Home</t>
  </si>
  <si>
    <t>5% discount: ₹90,725 sales from 6 orders — highest sales contribution.</t>
  </si>
  <si>
    <t>8% discount: ₹29,440 from 1 order.</t>
  </si>
  <si>
    <t>Which products are sold in the highest quantities?</t>
  </si>
  <si>
    <t>10% discount: ₹19,710 from 4 orders.</t>
  </si>
  <si>
    <t>0% discount: ₹6,000 from 2 orders.</t>
  </si>
  <si>
    <t>15% discount: ₹5,015 from 2 orders.</t>
  </si>
  <si>
    <t>C004</t>
  </si>
  <si>
    <t>West</t>
  </si>
  <si>
    <t>Cash</t>
  </si>
  <si>
    <t>C005</t>
  </si>
  <si>
    <t>C006</t>
  </si>
  <si>
    <t>C007</t>
  </si>
  <si>
    <t>Accessories</t>
  </si>
  <si>
    <t>Category vs Profit</t>
  </si>
  <si>
    <t>Category Profit Margin</t>
  </si>
  <si>
    <t>Electronics dominates revenue: ₹116,190 and profit of ₹30,090.</t>
  </si>
  <si>
    <t>C008</t>
  </si>
  <si>
    <t>Fashion sells the most units: 10 out of 22 units.</t>
  </si>
  <si>
    <t>Electronics generates much more revenue with fewer units (7), because its products have much higher prices.</t>
  </si>
  <si>
    <t>Accessories has only 1 unit, but ₹4,500 in sales.</t>
  </si>
  <si>
    <t>Highest sales category → Electronics</t>
  </si>
  <si>
    <t>from:</t>
  </si>
  <si>
    <t>Highest margin category → Electronics</t>
  </si>
  <si>
    <t>Identify the Top &amp; Bottom Categories</t>
  </si>
  <si>
    <t>Highest sales: Electronics — ₹116,190</t>
  </si>
  <si>
    <t>Highest profit: Electronics — ₹30,090</t>
  </si>
  <si>
    <t>C009</t>
  </si>
  <si>
    <t>Highest profit margin: Electronics — 25.90%</t>
  </si>
  <si>
    <t>Highest quantity: Fashion — 10 units</t>
  </si>
  <si>
    <t>Lowest profit margin: Fashion — 21.69%</t>
  </si>
  <si>
    <t>Fashion sells the most units, but Electronics generates far more revenue and profit.</t>
  </si>
  <si>
    <t>C010</t>
  </si>
  <si>
    <t>C011</t>
  </si>
  <si>
    <t>C012</t>
  </si>
  <si>
    <t>C013</t>
  </si>
  <si>
    <t>C014</t>
  </si>
  <si>
    <t>C015</t>
  </si>
  <si>
    <t>Cost = 70% of Gross Sales.</t>
  </si>
  <si>
    <t>Column</t>
  </si>
  <si>
    <t>Blank Count</t>
  </si>
  <si>
    <t>Customer Analysis</t>
  </si>
  <si>
    <t>Payment Method Analysis</t>
  </si>
  <si>
    <t>Which payment method is used most, and how much sales does each method generate?</t>
  </si>
  <si>
    <t>Jan</t>
  </si>
  <si>
    <t>Monthly Sales PivotTable</t>
  </si>
  <si>
    <t>Top Products</t>
  </si>
  <si>
    <t>Profit Margin by Product</t>
  </si>
  <si>
    <t>Which product generates the highest profit?</t>
  </si>
  <si>
    <t>Sales %</t>
  </si>
  <si>
    <t>Laptop is #1 in both sales and profit.</t>
  </si>
  <si>
    <t>Important analytical point</t>
  </si>
  <si>
    <t>Highest Sales ≠ Highest Profit</t>
  </si>
  <si>
    <t>Profit Margin = Profit ÷ Net Sales × 100</t>
  </si>
  <si>
    <t>Calculate the Profit Margin for all 15 products.</t>
  </si>
  <si>
    <t>Which category generates the most sales?</t>
  </si>
  <si>
    <t>Electronics dominates with ~77% of total sales.</t>
  </si>
  <si>
    <t>Analyze sales by category</t>
  </si>
  <si>
    <t>Interpret Category Sales</t>
  </si>
  <si>
    <t>Sales → How much revenue came in</t>
  </si>
  <si>
    <t>Profit → How much estimated money remained after our assumed cost</t>
  </si>
  <si>
    <t>Analyze Sales by Region</t>
  </si>
  <si>
    <t>KPI</t>
  </si>
  <si>
    <t>Value</t>
  </si>
  <si>
    <t>Total Sales</t>
  </si>
  <si>
    <t>Total Profit</t>
  </si>
  <si>
    <t>Total Orders</t>
  </si>
  <si>
    <t>Total Quantity Sold</t>
  </si>
  <si>
    <t>Average Order Value</t>
  </si>
  <si>
    <t>Average Profit per Order</t>
  </si>
  <si>
    <t>Metric</t>
  </si>
  <si>
    <t>Result</t>
  </si>
  <si>
    <t>Highest Sales Category</t>
  </si>
  <si>
    <t>Electronics — ₹116,190</t>
  </si>
  <si>
    <t>Highest Profit Category</t>
  </si>
  <si>
    <t>Electronics — ₹30,090</t>
  </si>
  <si>
    <t>Highest Profit Margin Category</t>
  </si>
  <si>
    <t>Electronics — 25.90%</t>
  </si>
  <si>
    <t>Highest Quantity Category</t>
  </si>
  <si>
    <t>Fashion — 10 units</t>
  </si>
  <si>
    <t>Lowest Profit Margin Category</t>
  </si>
  <si>
    <t>Fashion — 21.69%</t>
  </si>
  <si>
    <t>E-COMMERCE SALES &amp; PERFORMANCE DASHBOARD</t>
  </si>
  <si>
    <t>January 2026 | 15 Orders</t>
  </si>
  <si>
    <t>₹150,890</t>
  </si>
  <si>
    <t>₹37,980</t>
  </si>
  <si>
    <t>₹10,059</t>
  </si>
  <si>
    <t>₹2,532</t>
  </si>
  <si>
    <t>Final Business Insights</t>
  </si>
  <si>
    <r>
      <rPr>
        <rFont val="Arial"/>
        <color theme="1"/>
        <sz val="18.0"/>
      </rPr>
      <t xml:space="preserve">1. </t>
    </r>
    <r>
      <rPr>
        <rFont val="Arial"/>
        <b/>
        <color theme="1"/>
        <sz val="18.0"/>
      </rPr>
      <t>Electronics</t>
    </r>
    <r>
      <rPr>
        <rFont val="Arial"/>
        <color theme="1"/>
        <sz val="18.0"/>
      </rPr>
      <t xml:space="preserve"> generated the </t>
    </r>
    <r>
      <rPr>
        <rFont val="Arial"/>
        <b/>
        <color theme="1"/>
        <sz val="18.0"/>
      </rPr>
      <t xml:space="preserve">highest sales </t>
    </r>
    <r>
      <rPr>
        <rFont val="Arial"/>
        <color theme="1"/>
        <sz val="18.0"/>
      </rPr>
      <t>at ₹</t>
    </r>
    <r>
      <rPr>
        <rFont val="Arial"/>
        <b/>
        <color theme="1"/>
        <sz val="18.0"/>
      </rPr>
      <t>116,190</t>
    </r>
    <r>
      <rPr>
        <rFont val="Arial"/>
        <color theme="1"/>
        <sz val="18.0"/>
      </rPr>
      <t>.</t>
    </r>
  </si>
  <si>
    <r>
      <rPr>
        <rFont val="Arial"/>
        <color theme="1"/>
        <sz val="18.0"/>
      </rPr>
      <t xml:space="preserve">2. </t>
    </r>
    <r>
      <rPr>
        <rFont val="Arial"/>
        <b/>
        <color theme="1"/>
        <sz val="18.0"/>
      </rPr>
      <t>Electronics</t>
    </r>
    <r>
      <rPr>
        <rFont val="Arial"/>
        <color theme="1"/>
        <sz val="18.0"/>
      </rPr>
      <t xml:space="preserve"> also generated the </t>
    </r>
    <r>
      <rPr>
        <rFont val="Arial"/>
        <b/>
        <color theme="1"/>
        <sz val="18.0"/>
      </rPr>
      <t>highest profit</t>
    </r>
    <r>
      <rPr>
        <rFont val="Arial"/>
        <color theme="1"/>
        <sz val="18.0"/>
      </rPr>
      <t xml:space="preserve"> at ₹</t>
    </r>
    <r>
      <rPr>
        <rFont val="Arial"/>
        <b/>
        <color theme="1"/>
        <sz val="18.0"/>
      </rPr>
      <t>30,090</t>
    </r>
    <r>
      <rPr>
        <rFont val="Arial"/>
        <color theme="1"/>
        <sz val="18.0"/>
      </rPr>
      <t>.</t>
    </r>
  </si>
  <si>
    <r>
      <rPr>
        <rFont val="Arial"/>
        <color theme="1"/>
        <sz val="18.0"/>
      </rPr>
      <t xml:space="preserve">3. </t>
    </r>
    <r>
      <rPr>
        <rFont val="Arial"/>
        <b/>
        <color theme="1"/>
        <sz val="18.0"/>
      </rPr>
      <t>Fashion</t>
    </r>
    <r>
      <rPr>
        <rFont val="Arial"/>
        <color theme="1"/>
        <sz val="18.0"/>
      </rPr>
      <t xml:space="preserve"> sold the </t>
    </r>
    <r>
      <rPr>
        <rFont val="Arial"/>
        <b/>
        <color theme="1"/>
        <sz val="18.0"/>
      </rPr>
      <t>highest quantity</t>
    </r>
    <r>
      <rPr>
        <rFont val="Arial"/>
        <color theme="1"/>
        <sz val="18.0"/>
      </rPr>
      <t xml:space="preserve">, with </t>
    </r>
    <r>
      <rPr>
        <rFont val="Arial"/>
        <b/>
        <color theme="1"/>
        <sz val="18.0"/>
      </rPr>
      <t>10 units.</t>
    </r>
  </si>
  <si>
    <r>
      <rPr>
        <rFont val="Arial"/>
        <color theme="1"/>
        <sz val="18.0"/>
      </rPr>
      <t xml:space="preserve">4. </t>
    </r>
    <r>
      <rPr>
        <rFont val="Arial"/>
        <b/>
        <color theme="1"/>
        <sz val="18.0"/>
      </rPr>
      <t>Laptop</t>
    </r>
    <r>
      <rPr>
        <rFont val="Arial"/>
        <color theme="1"/>
        <sz val="18.0"/>
      </rPr>
      <t xml:space="preserve"> was the </t>
    </r>
    <r>
      <rPr>
        <rFont val="Arial"/>
        <b/>
        <color theme="1"/>
        <sz val="18.0"/>
      </rPr>
      <t>highest-selling</t>
    </r>
    <r>
      <rPr>
        <rFont val="Arial"/>
        <color theme="1"/>
        <sz val="18.0"/>
      </rPr>
      <t xml:space="preserve"> product by revenue at ₹</t>
    </r>
    <r>
      <rPr>
        <rFont val="Arial"/>
        <b/>
        <color theme="1"/>
        <sz val="18.0"/>
      </rPr>
      <t>52,250</t>
    </r>
    <r>
      <rPr>
        <rFont val="Arial"/>
        <color theme="1"/>
        <sz val="18.0"/>
      </rPr>
      <t>.</t>
    </r>
  </si>
  <si>
    <r>
      <rPr>
        <rFont val="Arial"/>
        <color theme="1"/>
        <sz val="18.0"/>
      </rPr>
      <t xml:space="preserve">5. </t>
    </r>
    <r>
      <rPr>
        <rFont val="Arial"/>
        <b/>
        <color theme="1"/>
        <sz val="18.0"/>
      </rPr>
      <t>UPI</t>
    </r>
    <r>
      <rPr>
        <rFont val="Arial"/>
        <color theme="1"/>
        <sz val="18.0"/>
      </rPr>
      <t xml:space="preserve"> was the most-used </t>
    </r>
    <r>
      <rPr>
        <rFont val="Arial"/>
        <b/>
        <color theme="1"/>
        <sz val="18.0"/>
      </rPr>
      <t>payment</t>
    </r>
    <r>
      <rPr>
        <rFont val="Arial"/>
        <color theme="1"/>
        <sz val="18.0"/>
      </rPr>
      <t xml:space="preserve"> method, with </t>
    </r>
    <r>
      <rPr>
        <rFont val="Arial"/>
        <b/>
        <color theme="1"/>
        <sz val="18.0"/>
      </rPr>
      <t>7</t>
    </r>
    <r>
      <rPr>
        <rFont val="Arial"/>
        <color theme="1"/>
        <sz val="18.0"/>
      </rPr>
      <t xml:space="preserve"> orders.</t>
    </r>
  </si>
  <si>
    <r>
      <rPr>
        <rFont val="Arial"/>
        <color theme="1"/>
        <sz val="18.0"/>
      </rPr>
      <t xml:space="preserve">6. The </t>
    </r>
    <r>
      <rPr>
        <rFont val="Arial"/>
        <b/>
        <color theme="1"/>
        <sz val="18.0"/>
      </rPr>
      <t xml:space="preserve">5% discount </t>
    </r>
    <r>
      <rPr>
        <rFont val="Arial"/>
        <color theme="1"/>
        <sz val="18.0"/>
      </rPr>
      <t>level recorded the highest net sales, at ₹</t>
    </r>
    <r>
      <rPr>
        <rFont val="Arial"/>
        <b/>
        <color theme="1"/>
        <sz val="18.0"/>
      </rPr>
      <t>90,725</t>
    </r>
    <r>
      <rPr>
        <rFont val="Arial"/>
        <color theme="1"/>
        <sz val="18.0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</si>
</sst>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₹]#,##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b/>
      <color theme="1"/>
      <name val="Arial"/>
      <scheme val="minor"/>
    </font>
    <font>
      <b/>
      <sz val="17.0"/>
      <color theme="1"/>
      <name val="Arial"/>
      <scheme val="minor"/>
    </font>
    <font>
      <b/>
      <sz val="14.0"/>
      <color theme="1"/>
      <name val="Arial"/>
      <scheme val="minor"/>
    </font>
    <font>
      <b/>
      <sz val="25.0"/>
      <color theme="1"/>
      <name val="Arial"/>
      <scheme val="minor"/>
    </font>
    <font>
      <b/>
      <sz val="16.0"/>
      <color theme="1"/>
      <name val="Arial"/>
      <scheme val="minor"/>
    </font>
    <font>
      <b/>
      <sz val="15.0"/>
      <color theme="1"/>
      <name val="Arial"/>
      <scheme val="minor"/>
    </font>
    <font>
      <b/>
      <sz val="30.0"/>
      <color theme="1"/>
      <name val="Arial"/>
      <scheme val="minor"/>
    </font>
    <font>
      <sz val="18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6"/>
        <bgColor theme="6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9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 readingOrder="0"/>
    </xf>
    <xf borderId="0" fillId="0" fontId="1" numFmtId="0" xfId="0" applyFont="1"/>
    <xf borderId="1" fillId="0" fontId="1" numFmtId="0" xfId="0" applyAlignment="1" applyBorder="1" applyFont="1">
      <alignment horizontal="center"/>
    </xf>
    <xf borderId="0" fillId="0" fontId="1" numFmtId="9" xfId="0" applyFont="1" applyNumberFormat="1"/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0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3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3" numFmtId="0" xfId="0" applyFont="1"/>
    <xf borderId="1" fillId="3" fontId="1" numFmtId="0" xfId="0" applyAlignment="1" applyBorder="1" applyFill="1" applyFont="1">
      <alignment readingOrder="0"/>
    </xf>
    <xf borderId="1" fillId="0" fontId="1" numFmtId="165" xfId="0" applyBorder="1" applyFont="1" applyNumberFormat="1"/>
    <xf borderId="1" fillId="2" fontId="3" numFmtId="0" xfId="0" applyAlignment="1" applyBorder="1" applyFill="1" applyFont="1">
      <alignment horizontal="center" readingOrder="0"/>
    </xf>
    <xf borderId="0" fillId="2" fontId="6" numFmtId="0" xfId="0" applyAlignment="1" applyFill="1" applyFont="1">
      <alignment horizontal="center" readingOrder="0"/>
    </xf>
    <xf borderId="0" fillId="4" fontId="1" numFmtId="0" xfId="0" applyFill="1" applyFont="1"/>
    <xf borderId="0" fillId="4" fontId="7" numFmtId="0" xfId="0" applyAlignment="1" applyFill="1" applyFont="1">
      <alignment horizontal="center" readingOrder="0"/>
    </xf>
    <xf borderId="0" fillId="5" fontId="1" numFmtId="0" xfId="0" applyFill="1" applyFont="1"/>
    <xf borderId="1" fillId="6" fontId="8" numFmtId="0" xfId="0" applyAlignment="1" applyBorder="1" applyFill="1" applyFon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1" fillId="5" fontId="8" numFmtId="0" xfId="0" applyAlignment="1" applyBorder="1" applyFill="1" applyFont="1">
      <alignment horizontal="center" readingOrder="0"/>
    </xf>
    <xf borderId="0" fillId="7" fontId="9" numFmtId="0" xfId="0" applyAlignment="1" applyFill="1" applyFont="1">
      <alignment horizontal="center" readingOrder="0"/>
    </xf>
    <xf borderId="0" fillId="8" fontId="10" numFmtId="0" xfId="0" applyAlignment="1" applyFill="1" applyFont="1">
      <alignment readingOrder="0"/>
    </xf>
    <xf borderId="0" fillId="8" fontId="10" numFmtId="0" xfId="0" applyFill="1" applyFont="1"/>
    <xf borderId="0" fillId="8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2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Product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4'!$A$2:$A$16</c:f>
            </c:strRef>
          </c:cat>
          <c:val>
            <c:numRef>
              <c:f>'Pivot Table 4'!$B$2:$B$16</c:f>
              <c:numCache/>
            </c:numRef>
          </c:val>
        </c:ser>
        <c:overlap val="100"/>
        <c:axId val="1388532933"/>
        <c:axId val="1772262643"/>
      </c:barChart>
      <c:catAx>
        <c:axId val="1388532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2262643"/>
      </c:catAx>
      <c:valAx>
        <c:axId val="17722626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85329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axId val="2102299644"/>
        <c:axId val="1095793789"/>
      </c:barChart>
      <c:catAx>
        <c:axId val="2102299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5793789"/>
      </c:catAx>
      <c:valAx>
        <c:axId val="1095793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Net_Sales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22996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2124075</xdr:colOff>
      <xdr:row>13</xdr:row>
      <xdr:rowOff>190500</xdr:rowOff>
    </xdr:from>
    <xdr:ext cx="5972175" cy="3257550"/>
    <xdr:pic>
      <xdr:nvPicPr>
        <xdr:cNvPr id="205784121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209550</xdr:colOff>
      <xdr:row>2</xdr:row>
      <xdr:rowOff>200025</xdr:rowOff>
    </xdr:from>
    <xdr:ext cx="4381500" cy="2705100"/>
    <xdr:pic>
      <xdr:nvPicPr>
        <xdr:cNvPr id="108661118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13</xdr:row>
      <xdr:rowOff>190500</xdr:rowOff>
    </xdr:from>
    <xdr:ext cx="6562725" cy="32575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219075</xdr:colOff>
      <xdr:row>2</xdr:row>
      <xdr:rowOff>200025</xdr:rowOff>
    </xdr:from>
    <xdr:ext cx="4381500" cy="27051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6" sheet="ecom database"/>
  </cacheSource>
  <cacheFields>
    <cacheField name="Order_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</sharedItems>
    </cacheField>
    <cacheField name="Order_Date" numFmtId="164">
      <sharedItems containsSemiMixedTypes="0" containsDate="1" containsString="0"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</sharedItems>
    </cacheField>
    <cacheField name="Customer_ID" numFmtId="0">
      <sharedItems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</sharedItems>
    </cacheField>
    <cacheField name="Product" numFmtId="0">
      <sharedItems>
        <s v="Laptop"/>
        <s v="Running Shoes"/>
        <s v="Headphones"/>
        <s v="Coffee Maker"/>
        <s v="T-Shirt"/>
        <s v="Smartphone"/>
        <s v="Backpack"/>
        <s v="Office Chair"/>
        <s v="Monitor"/>
        <s v="Jeans"/>
        <s v="Keyboard"/>
        <s v="Table Lamp"/>
        <s v="Watch"/>
        <s v="Handbag"/>
        <s v="Tablet"/>
      </sharedItems>
    </cacheField>
    <cacheField name="Category" numFmtId="0">
      <sharedItems>
        <s v="Electronics"/>
        <s v="Fashion"/>
        <s v="Home"/>
        <s v="Accessories"/>
      </sharedItems>
    </cacheField>
    <cacheField name="Region" numFmtId="0">
      <sharedItems>
        <s v="North"/>
        <s v="South"/>
        <s v="East"/>
        <s v="West"/>
      </sharedItems>
    </cacheField>
    <cacheField name="Quantity" numFmtId="0">
      <sharedItems containsSemiMixedTypes="0" containsString="0" containsNumber="1" containsInteger="1">
        <n v="1.0"/>
        <n v="2.0"/>
        <n v="3.0"/>
      </sharedItems>
    </cacheField>
    <cacheField name="Unit_Price" numFmtId="0">
      <sharedItems containsSemiMixedTypes="0" containsString="0" containsNumber="1" containsInteger="1">
        <n v="55000.0"/>
        <n v="2500.0"/>
        <n v="3000.0"/>
        <n v="4500.0"/>
        <n v="800.0"/>
        <n v="32000.0"/>
        <n v="1800.0"/>
        <n v="7500.0"/>
        <n v="12000.0"/>
        <n v="2200.0"/>
        <n v="1500.0"/>
        <n v="1200.0"/>
        <n v="5000.0"/>
        <n v="3500.0"/>
        <n v="18000.0"/>
      </sharedItems>
    </cacheField>
    <cacheField name="Discount" numFmtId="9">
      <sharedItems containsSemiMixedTypes="0" containsString="0" containsNumber="1">
        <n v="0.05"/>
        <n v="0.1"/>
        <n v="0.0"/>
        <n v="0.15"/>
        <n v="0.08"/>
      </sharedItems>
    </cacheField>
    <cacheField name="Payment_Method" numFmtId="0">
      <sharedItems>
        <s v="UPI"/>
        <s v="Card"/>
        <s v="Cash"/>
      </sharedItems>
    </cacheField>
    <cacheField name="Gross_Sales" numFmtId="165">
      <sharedItems containsSemiMixedTypes="0" containsString="0" containsNumber="1" containsInteger="1">
        <n v="55000.0"/>
        <n v="5000.0"/>
        <n v="3000.0"/>
        <n v="4500.0"/>
        <n v="2400.0"/>
        <n v="32000.0"/>
        <n v="3600.0"/>
        <n v="7500.0"/>
        <n v="12000.0"/>
        <n v="4400.0"/>
        <n v="3500.0"/>
        <n v="18000.0"/>
      </sharedItems>
    </cacheField>
    <cacheField name="Discount_Amount" numFmtId="165">
      <sharedItems containsSemiMixedTypes="0" containsString="0" containsNumber="1" containsInteger="1">
        <n v="2750.0"/>
        <n v="500.0"/>
        <n v="0.0"/>
        <n v="225.0"/>
        <n v="360.0"/>
        <n v="2560.0"/>
        <n v="180.0"/>
        <n v="750.0"/>
        <n v="600.0"/>
        <n v="440.0"/>
        <n v="120.0"/>
        <n v="525.0"/>
        <n v="900.0"/>
      </sharedItems>
    </cacheField>
    <cacheField name="Net_Sales" numFmtId="165">
      <sharedItems containsSemiMixedTypes="0" containsString="0" containsNumber="1" containsInteger="1">
        <n v="52250.0"/>
        <n v="4500.0"/>
        <n v="3000.0"/>
        <n v="4275.0"/>
        <n v="2040.0"/>
        <n v="29440.0"/>
        <n v="3420.0"/>
        <n v="6750.0"/>
        <n v="11400.0"/>
        <n v="3960.0"/>
        <n v="2280.0"/>
        <n v="2975.0"/>
        <n v="17100.0"/>
      </sharedItems>
    </cacheField>
    <cacheField name="Cost_Price" numFmtId="165">
      <sharedItems containsSemiMixedTypes="0" containsString="0" containsNumber="1" containsInteger="1">
        <n v="38500.0"/>
        <n v="3500.0"/>
        <n v="2100.0"/>
        <n v="3150.0"/>
        <n v="1680.0"/>
        <n v="22400.0"/>
        <n v="2520.0"/>
        <n v="5250.0"/>
        <n v="8400.0"/>
        <n v="3080.0"/>
        <n v="2450.0"/>
        <n v="12600.0"/>
      </sharedItems>
    </cacheField>
    <cacheField name="Profit" numFmtId="165">
      <sharedItems containsSemiMixedTypes="0" containsString="0" containsNumber="1" containsInteger="1">
        <n v="13750.0"/>
        <n v="1000.0"/>
        <n v="900.0"/>
        <n v="1125.0"/>
        <n v="360.0"/>
        <n v="7040.0"/>
        <n v="1500.0"/>
        <n v="3000.0"/>
        <n v="880.0"/>
        <n v="600.0"/>
        <n v="525.0"/>
        <n v="4500.0"/>
      </sharedItems>
    </cacheField>
    <cacheField name="Month" numFmtId="0">
      <sharedItems>
        <s v="Jan"/>
      </sharedItems>
    </cacheField>
    <cacheField name="Month_Number" numFmtId="0">
      <sharedItems containsSemiMixedTypes="0" containsString="0" containsNumber="1" containsInteger="1">
        <n v="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6" sheet="ecom database"/>
  </cacheSource>
  <cacheFields>
    <cacheField name="Order_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</sharedItems>
    </cacheField>
    <cacheField name="Order_Date" numFmtId="164">
      <sharedItems containsSemiMixedTypes="0" containsDate="1" containsString="0"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</sharedItems>
    </cacheField>
    <cacheField name="Customer_ID" numFmtId="0">
      <sharedItems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</sharedItems>
    </cacheField>
    <cacheField name="Product" numFmtId="0">
      <sharedItems>
        <s v="Laptop"/>
        <s v="Running Shoes"/>
        <s v="Headphones"/>
        <s v="Coffee Maker"/>
        <s v="T-Shirt"/>
        <s v="Smartphone"/>
        <s v="Backpack"/>
        <s v="Office Chair"/>
        <s v="Monitor"/>
        <s v="Jeans"/>
        <s v="Keyboard"/>
        <s v="Table Lamp"/>
        <s v="Watch"/>
        <s v="Handbag"/>
        <s v="Tablet"/>
      </sharedItems>
    </cacheField>
    <cacheField name="Category" numFmtId="0">
      <sharedItems>
        <s v="Electronics"/>
        <s v="Fashion"/>
        <s v="Home"/>
        <s v="Accessories"/>
      </sharedItems>
    </cacheField>
    <cacheField name="Region" numFmtId="0">
      <sharedItems>
        <s v="North"/>
        <s v="South"/>
        <s v="East"/>
        <s v="West"/>
      </sharedItems>
    </cacheField>
    <cacheField name="Quantity" numFmtId="0">
      <sharedItems containsSemiMixedTypes="0" containsString="0" containsNumber="1" containsInteger="1">
        <n v="1.0"/>
        <n v="2.0"/>
        <n v="3.0"/>
      </sharedItems>
    </cacheField>
    <cacheField name="Unit_Price" numFmtId="0">
      <sharedItems containsSemiMixedTypes="0" containsString="0" containsNumber="1" containsInteger="1">
        <n v="55000.0"/>
        <n v="2500.0"/>
        <n v="3000.0"/>
        <n v="4500.0"/>
        <n v="800.0"/>
        <n v="32000.0"/>
        <n v="1800.0"/>
        <n v="7500.0"/>
        <n v="12000.0"/>
        <n v="2200.0"/>
        <n v="1500.0"/>
        <n v="1200.0"/>
        <n v="5000.0"/>
        <n v="3500.0"/>
        <n v="18000.0"/>
      </sharedItems>
    </cacheField>
    <cacheField name="Discount" numFmtId="9">
      <sharedItems containsSemiMixedTypes="0" containsString="0" containsNumber="1">
        <n v="0.05"/>
        <n v="0.1"/>
        <n v="0.0"/>
        <n v="0.15"/>
        <n v="0.08"/>
      </sharedItems>
    </cacheField>
    <cacheField name="Payment_Method" numFmtId="0">
      <sharedItems>
        <s v="UPI"/>
        <s v="Card"/>
        <s v="Cash"/>
      </sharedItems>
    </cacheField>
    <cacheField name="Gross_Sales" numFmtId="165">
      <sharedItems containsSemiMixedTypes="0" containsString="0" containsNumber="1" containsInteger="1">
        <n v="55000.0"/>
        <n v="5000.0"/>
        <n v="3000.0"/>
        <n v="4500.0"/>
        <n v="2400.0"/>
        <n v="32000.0"/>
        <n v="3600.0"/>
        <n v="7500.0"/>
        <n v="12000.0"/>
        <n v="4400.0"/>
        <n v="3500.0"/>
        <n v="18000.0"/>
      </sharedItems>
    </cacheField>
    <cacheField name="Discount_Amount" numFmtId="165">
      <sharedItems containsSemiMixedTypes="0" containsString="0" containsNumber="1" containsInteger="1">
        <n v="2750.0"/>
        <n v="500.0"/>
        <n v="0.0"/>
        <n v="225.0"/>
        <n v="360.0"/>
        <n v="2560.0"/>
        <n v="180.0"/>
        <n v="750.0"/>
        <n v="600.0"/>
        <n v="440.0"/>
        <n v="120.0"/>
        <n v="525.0"/>
        <n v="900.0"/>
      </sharedItems>
    </cacheField>
    <cacheField name="Net_Sales" numFmtId="165">
      <sharedItems containsSemiMixedTypes="0" containsString="0" containsNumber="1" containsInteger="1">
        <n v="52250.0"/>
        <n v="4500.0"/>
        <n v="3000.0"/>
        <n v="4275.0"/>
        <n v="2040.0"/>
        <n v="29440.0"/>
        <n v="3420.0"/>
        <n v="6750.0"/>
        <n v="11400.0"/>
        <n v="3960.0"/>
        <n v="2280.0"/>
        <n v="2975.0"/>
        <n v="17100.0"/>
      </sharedItems>
    </cacheField>
    <cacheField name="Cost_Price" numFmtId="165">
      <sharedItems containsSemiMixedTypes="0" containsString="0" containsNumber="1" containsInteger="1">
        <n v="38500.0"/>
        <n v="3500.0"/>
        <n v="2100.0"/>
        <n v="3150.0"/>
        <n v="1680.0"/>
        <n v="22400.0"/>
        <n v="2520.0"/>
        <n v="5250.0"/>
        <n v="8400.0"/>
        <n v="3080.0"/>
        <n v="2450.0"/>
        <n v="12600.0"/>
      </sharedItems>
    </cacheField>
    <cacheField name="Profit" numFmtId="165">
      <sharedItems containsSemiMixedTypes="0" containsString="0" containsNumber="1" containsInteger="1">
        <n v="13750.0"/>
        <n v="1000.0"/>
        <n v="900.0"/>
        <n v="1125.0"/>
        <n v="360.0"/>
        <n v="7040.0"/>
        <n v="1500.0"/>
        <n v="3000.0"/>
        <n v="880.0"/>
        <n v="600.0"/>
        <n v="525.0"/>
        <n v="45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9" cacheId="0" dataCaption="" compact="0" compactData="0">
  <location ref="A1:D6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tegory" axis="axisRow" compact="0" outline="0" multipleItemSelectionAllowed="1" showAll="0" sortType="descending">
      <items>
        <item x="2"/>
        <item x="1"/>
        <item x="0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dataField="1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t="default"/>
      </items>
    </pivotField>
    <pivotField name="Gross_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_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et_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s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" compact="0" outline="0" multipleItemSelectionAllowed="1" showAll="0">
      <items>
        <item x="0"/>
        <item t="default"/>
      </items>
    </pivotField>
    <pivotField name="Month_Number" compact="0" outline="0" multipleItemSelectionAllowed="1" showAll="0">
      <items>
        <item x="0"/>
        <item t="default"/>
      </items>
    </pivotField>
  </pivotFields>
  <rowFields>
    <field x="4"/>
  </rowFields>
  <colFields>
    <field x="-2"/>
  </colFields>
  <dataFields>
    <dataField name="SUM of Net_Sales" fld="12" baseField="0"/>
    <dataField name="SUM of Profit" fld="14" baseField="0"/>
    <dataField name="SUM of Quantity" fld="6" baseField="0"/>
  </dataFields>
</pivotTableDefinition>
</file>

<file path=xl/pivotTables/pivotTable2.xml><?xml version="1.0" encoding="utf-8"?>
<pivotTableDefinition xmlns="http://schemas.openxmlformats.org/spreadsheetml/2006/main" name="Pivot Table 8" cacheId="0" dataCaption="" compact="0" compactData="0">
  <location ref="A1:C7" firstHeaderRow="0" firstDataRow="2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axis="axisRow" compact="0" numFmtId="9" outline="0" multipleItemSelectionAllowed="1" showAll="0" sortType="ascending">
      <items>
        <item x="2"/>
        <item x="0"/>
        <item x="4"/>
        <item x="1"/>
        <item x="3"/>
        <item t="default"/>
      </items>
    </pivotField>
    <pivotField name="Payment_Method" compact="0" outline="0" multipleItemSelectionAllowed="1" showAll="0">
      <items>
        <item x="0"/>
        <item x="1"/>
        <item x="2"/>
        <item t="default"/>
      </items>
    </pivotField>
    <pivotField name="Gross_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_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et_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s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" compact="0" outline="0" multipleItemSelectionAllowed="1" showAll="0">
      <items>
        <item x="0"/>
        <item t="default"/>
      </items>
    </pivotField>
    <pivotField name="Month_Number" compact="0" outline="0" multipleItemSelectionAllowed="1" showAll="0">
      <items>
        <item x="0"/>
        <item t="default"/>
      </items>
    </pivotField>
  </pivotFields>
  <rowFields>
    <field x="8"/>
  </rowFields>
  <colFields>
    <field x="-2"/>
  </colFields>
  <dataFields>
    <dataField name="SUM of Net_Sales" fld="12" baseField="0"/>
    <dataField name="COUNTA of Order_ID" fld="0" subtotal="count" baseField="0"/>
  </dataFields>
</pivotTableDefinition>
</file>

<file path=xl/pivotTables/pivotTable3.xml><?xml version="1.0" encoding="utf-8"?>
<pivotTableDefinition xmlns="http://schemas.openxmlformats.org/spreadsheetml/2006/main" name="Pivot Table 7" cacheId="0" dataCaption="" compact="0" compactData="0">
  <location ref="A1:B1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dataField="1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t="default"/>
      </items>
    </pivotField>
    <pivotField name="Gross_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_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et_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s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" compact="0" outline="0" multipleItemSelectionAllowed="1" showAll="0">
      <items>
        <item x="0"/>
        <item t="default"/>
      </items>
    </pivotField>
    <pivotField name="Month_Number" compact="0" outline="0" multipleItemSelectionAllowed="1" showAll="0">
      <items>
        <item x="0"/>
        <item t="default"/>
      </items>
    </pivotField>
  </pivotFields>
  <rowFields>
    <field x="3"/>
  </rowFields>
  <dataFields>
    <dataField name="SUM of Quantity" fld="6" baseField="0"/>
  </dataFields>
</pivotTableDefinition>
</file>

<file path=xl/pivotTables/pivotTable4.xml><?xml version="1.0" encoding="utf-8"?>
<pivotTableDefinition xmlns="http://schemas.openxmlformats.org/spreadsheetml/2006/main" name="Pivot Table 6" cacheId="0" dataCaption="" compact="0" compactData="0">
  <location ref="A1:C17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_I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t="default"/>
      </items>
    </pivotField>
    <pivotField name="Gross_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_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et_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s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" compact="0" outline="0" multipleItemSelectionAllowed="1" showAll="0">
      <items>
        <item x="0"/>
        <item t="default"/>
      </items>
    </pivotField>
    <pivotField name="Month_Number" compact="0" outline="0" multipleItemSelectionAllowed="1" showAll="0">
      <items>
        <item x="0"/>
        <item t="default"/>
      </items>
    </pivotField>
  </pivotFields>
  <rowFields>
    <field x="2"/>
  </rowFields>
  <colFields>
    <field x="-2"/>
  </colFields>
  <dataFields>
    <dataField name="SUM of Net_Sales" fld="12" baseField="0"/>
    <dataField name="SUM of Profit" fld="14" baseField="0"/>
  </dataFields>
</pivotTableDefinition>
</file>

<file path=xl/pivotTables/pivotTable5.xml><?xml version="1.0" encoding="utf-8"?>
<pivotTableDefinition xmlns="http://schemas.openxmlformats.org/spreadsheetml/2006/main" name="Pivot Table 5" cacheId="0" dataCaption="" compact="0" compactData="0">
  <location ref="A1:C5" firstHeaderRow="0" firstDataRow="2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axis="axisRow" compact="0" outline="0" multipleItemSelectionAllowed="1" showAll="0" sortType="descending">
      <items>
        <item x="0"/>
        <item x="2"/>
        <item x="1"/>
        <item t="default"/>
      </items>
    </pivotField>
    <pivotField name="Gross_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_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et_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s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" compact="0" outline="0" multipleItemSelectionAllowed="1" showAll="0">
      <items>
        <item x="0"/>
        <item t="default"/>
      </items>
    </pivotField>
    <pivotField name="Month_Number" compact="0" outline="0" multipleItemSelectionAllowed="1" showAll="0">
      <items>
        <item x="0"/>
        <item t="default"/>
      </items>
    </pivotField>
  </pivotFields>
  <rowFields>
    <field x="9"/>
  </rowFields>
  <colFields>
    <field x="-2"/>
  </colFields>
  <dataFields>
    <dataField name="SUM of Net_Sales" fld="12" baseField="0"/>
    <dataField name="COUNTA of Order_ID" fld="0" subtotal="count" baseField="0"/>
  </dataFields>
</pivotTableDefinition>
</file>

<file path=xl/pivotTables/pivotTable6.xml><?xml version="1.0" encoding="utf-8"?>
<pivotTableDefinition xmlns="http://schemas.openxmlformats.org/spreadsheetml/2006/main" name="Pivot Table 4" cacheId="0" dataCaption="" compact="0" compactData="0">
  <location ref="A1:C17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t="default"/>
      </items>
    </pivotField>
    <pivotField name="Gross_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_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et_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s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" compact="0" outline="0" multipleItemSelectionAllowed="1" showAll="0">
      <items>
        <item x="0"/>
        <item t="default"/>
      </items>
    </pivotField>
    <pivotField name="Month_Number" compact="0" outline="0" multipleItemSelectionAllowed="1" showAll="0">
      <items>
        <item x="0"/>
        <item t="default"/>
      </items>
    </pivotField>
  </pivotFields>
  <rowFields>
    <field x="3"/>
  </rowFields>
  <colFields>
    <field x="-2"/>
  </colFields>
  <dataFields>
    <dataField name="SUM of Net_Sales" fld="12" baseField="0"/>
    <dataField name="SUM of Profit" fld="14" baseField="0"/>
  </dataFields>
</pivotTableDefinition>
</file>

<file path=xl/pivotTables/pivotTable7.xml><?xml version="1.0" encoding="utf-8"?>
<pivotTableDefinition xmlns="http://schemas.openxmlformats.org/spreadsheetml/2006/main" name="Pivot Table 3" cacheId="0" dataCaption="" compact="0" compactData="0">
  <location ref="A1:C3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t="default"/>
      </items>
    </pivotField>
    <pivotField name="Gross_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_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et_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s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" axis="axisRow" compact="0" outline="0" multipleItemSelectionAllowed="1" showAll="0" sortType="ascending">
      <items>
        <item x="0"/>
        <item t="default"/>
      </items>
    </pivotField>
    <pivotField name="Month_Number" compact="0" outline="0" multipleItemSelectionAllowed="1" showAll="0">
      <items>
        <item x="0"/>
        <item t="default"/>
      </items>
    </pivotField>
  </pivotFields>
  <rowFields>
    <field x="15"/>
  </rowFields>
  <colFields>
    <field x="-2"/>
  </colFields>
  <dataFields>
    <dataField name="SUM of Net_Sales" fld="12" baseField="0"/>
    <dataField name="SUM of Profit" fld="14" baseField="0"/>
  </dataFields>
</pivotTableDefinition>
</file>

<file path=xl/pivotTables/pivotTable8.xml><?xml version="1.0" encoding="utf-8"?>
<pivotTableDefinition xmlns="http://schemas.openxmlformats.org/spreadsheetml/2006/main" name="Pivot Table 2" cacheId="1" dataCaption="" compact="0" compactData="0">
  <location ref="A1:C6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Region" axis="axisRow" compact="0" outline="0" multipleItemSelectionAllowed="1" showAll="0" sortType="ascending">
      <items>
        <item x="2"/>
        <item x="0"/>
        <item x="1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t="default"/>
      </items>
    </pivotField>
    <pivotField name="Gross_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_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et_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s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5"/>
  </rowFields>
  <colFields>
    <field x="-2"/>
  </colFields>
  <dataFields>
    <dataField name="SUM of Net_Sales" fld="12" baseField="0"/>
    <dataField name="SUM of Profit" fld="14" baseField="0"/>
  </dataFields>
</pivotTableDefinition>
</file>

<file path=xl/pivotTables/pivotTable9.xml><?xml version="1.0" encoding="utf-8"?>
<pivotTableDefinition xmlns="http://schemas.openxmlformats.org/spreadsheetml/2006/main" name="Pivot Table 1" cacheId="1" dataCaption="" compact="0" compactData="0">
  <location ref="A1:B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tegory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t="default"/>
      </items>
    </pivotField>
    <pivotField name="Payment_Method" compact="0" outline="0" multipleItemSelectionAllowed="1" showAll="0">
      <items>
        <item x="0"/>
        <item x="1"/>
        <item x="2"/>
        <item t="default"/>
      </items>
    </pivotField>
    <pivotField name="Gross_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_Amoun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et_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s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4"/>
  </rowFields>
  <dataFields>
    <dataField name="SUM of Net_Sales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4.0"/>
    <col customWidth="1" min="3" max="3" width="10.88"/>
    <col customWidth="1" min="4" max="4" width="21.5"/>
    <col customWidth="1" min="5" max="5" width="10.0"/>
    <col customWidth="1" min="6" max="6" width="6.25"/>
    <col customWidth="1" min="7" max="7" width="7.25"/>
    <col customWidth="1" min="8" max="8" width="8.63"/>
    <col customWidth="1" min="9" max="9" width="7.5"/>
    <col customWidth="1" min="10" max="10" width="14.0"/>
    <col customWidth="1" min="11" max="11" width="10.5"/>
    <col customWidth="1" min="12" max="12" width="14.13"/>
    <col customWidth="1" min="13" max="13" width="8.75"/>
    <col customWidth="1" min="14" max="14" width="9.13"/>
    <col customWidth="1" min="15" max="15" width="7.0"/>
    <col customWidth="1" min="16" max="16" width="5.63"/>
    <col customWidth="1" min="17" max="17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1001.0</v>
      </c>
      <c r="B2" s="5">
        <v>46023.0</v>
      </c>
      <c r="C2" s="4" t="s">
        <v>17</v>
      </c>
      <c r="D2" s="4" t="s">
        <v>18</v>
      </c>
      <c r="E2" s="4" t="s">
        <v>19</v>
      </c>
      <c r="F2" s="4" t="s">
        <v>20</v>
      </c>
      <c r="G2" s="4">
        <v>1.0</v>
      </c>
      <c r="H2" s="4">
        <v>55000.0</v>
      </c>
      <c r="I2" s="6">
        <v>0.05</v>
      </c>
      <c r="J2" s="4" t="s">
        <v>21</v>
      </c>
      <c r="K2" s="7">
        <f t="shared" ref="K2:K16" si="1">G2*H2</f>
        <v>55000</v>
      </c>
      <c r="L2" s="7">
        <f t="shared" ref="L2:L16" si="2">K2*I2</f>
        <v>2750</v>
      </c>
      <c r="M2" s="7">
        <f t="shared" ref="M2:M16" si="3">K2-L2</f>
        <v>52250</v>
      </c>
      <c r="N2" s="8">
        <f t="shared" ref="N2:N16" si="4">K2*70%</f>
        <v>38500</v>
      </c>
      <c r="O2" s="7">
        <f t="shared" ref="O2:O16" si="5">M2-N2</f>
        <v>13750</v>
      </c>
      <c r="P2" s="10" t="str">
        <f t="shared" ref="P2:P16" si="6">TEXT(B2,"MMM")</f>
        <v>Jan</v>
      </c>
      <c r="Q2" s="10">
        <f t="shared" ref="Q2:Q16" si="7">MONTH(B2)</f>
        <v>1</v>
      </c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>
        <v>1002.0</v>
      </c>
      <c r="B3" s="5">
        <v>46024.0</v>
      </c>
      <c r="C3" s="4" t="s">
        <v>31</v>
      </c>
      <c r="D3" s="4" t="s">
        <v>27</v>
      </c>
      <c r="E3" s="4" t="s">
        <v>33</v>
      </c>
      <c r="F3" s="4" t="s">
        <v>34</v>
      </c>
      <c r="G3" s="4">
        <v>2.0</v>
      </c>
      <c r="H3" s="4">
        <v>2500.0</v>
      </c>
      <c r="I3" s="6">
        <v>0.1</v>
      </c>
      <c r="J3" s="4" t="s">
        <v>37</v>
      </c>
      <c r="K3" s="7">
        <f t="shared" si="1"/>
        <v>5000</v>
      </c>
      <c r="L3" s="7">
        <f t="shared" si="2"/>
        <v>500</v>
      </c>
      <c r="M3" s="7">
        <f t="shared" si="3"/>
        <v>4500</v>
      </c>
      <c r="N3" s="8">
        <f t="shared" si="4"/>
        <v>3500</v>
      </c>
      <c r="O3" s="7">
        <f t="shared" si="5"/>
        <v>1000</v>
      </c>
      <c r="P3" s="10" t="str">
        <f t="shared" si="6"/>
        <v>Jan</v>
      </c>
      <c r="Q3" s="10">
        <f t="shared" si="7"/>
        <v>1</v>
      </c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>
        <v>1003.0</v>
      </c>
      <c r="B4" s="5">
        <v>46025.0</v>
      </c>
      <c r="C4" s="4" t="s">
        <v>46</v>
      </c>
      <c r="D4" s="4" t="s">
        <v>41</v>
      </c>
      <c r="E4" s="4" t="s">
        <v>19</v>
      </c>
      <c r="F4" s="4" t="s">
        <v>48</v>
      </c>
      <c r="G4" s="4">
        <v>1.0</v>
      </c>
      <c r="H4" s="4">
        <v>3000.0</v>
      </c>
      <c r="I4" s="6">
        <v>0.0</v>
      </c>
      <c r="J4" s="4" t="s">
        <v>21</v>
      </c>
      <c r="K4" s="7">
        <f t="shared" si="1"/>
        <v>3000</v>
      </c>
      <c r="L4" s="7">
        <f t="shared" si="2"/>
        <v>0</v>
      </c>
      <c r="M4" s="7">
        <f t="shared" si="3"/>
        <v>3000</v>
      </c>
      <c r="N4" s="8">
        <f t="shared" si="4"/>
        <v>2100</v>
      </c>
      <c r="O4" s="7">
        <f t="shared" si="5"/>
        <v>900</v>
      </c>
      <c r="P4" s="10" t="str">
        <f t="shared" si="6"/>
        <v>Jan</v>
      </c>
      <c r="Q4" s="10">
        <f t="shared" si="7"/>
        <v>1</v>
      </c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>
        <v>1004.0</v>
      </c>
      <c r="B5" s="5">
        <v>46026.0</v>
      </c>
      <c r="C5" s="4" t="s">
        <v>57</v>
      </c>
      <c r="D5" s="4" t="s">
        <v>45</v>
      </c>
      <c r="E5" s="4" t="s">
        <v>50</v>
      </c>
      <c r="F5" s="4" t="s">
        <v>58</v>
      </c>
      <c r="G5" s="4">
        <v>1.0</v>
      </c>
      <c r="H5" s="4">
        <v>4500.0</v>
      </c>
      <c r="I5" s="6">
        <v>0.05</v>
      </c>
      <c r="J5" s="4" t="s">
        <v>59</v>
      </c>
      <c r="K5" s="7">
        <f t="shared" si="1"/>
        <v>4500</v>
      </c>
      <c r="L5" s="7">
        <f t="shared" si="2"/>
        <v>225</v>
      </c>
      <c r="M5" s="7">
        <f t="shared" si="3"/>
        <v>4275</v>
      </c>
      <c r="N5" s="8">
        <f t="shared" si="4"/>
        <v>3150</v>
      </c>
      <c r="O5" s="7">
        <f t="shared" si="5"/>
        <v>1125</v>
      </c>
      <c r="P5" s="10" t="str">
        <f t="shared" si="6"/>
        <v>Jan</v>
      </c>
      <c r="Q5" s="10">
        <f t="shared" si="7"/>
        <v>1</v>
      </c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>
        <v>1005.0</v>
      </c>
      <c r="B6" s="5">
        <v>46027.0</v>
      </c>
      <c r="C6" s="4" t="s">
        <v>60</v>
      </c>
      <c r="D6" s="4" t="s">
        <v>23</v>
      </c>
      <c r="E6" s="4" t="s">
        <v>33</v>
      </c>
      <c r="F6" s="4" t="s">
        <v>20</v>
      </c>
      <c r="G6" s="4">
        <v>3.0</v>
      </c>
      <c r="H6" s="4">
        <v>800.0</v>
      </c>
      <c r="I6" s="6">
        <v>0.15</v>
      </c>
      <c r="J6" s="4" t="s">
        <v>37</v>
      </c>
      <c r="K6" s="7">
        <f t="shared" si="1"/>
        <v>2400</v>
      </c>
      <c r="L6" s="7">
        <f t="shared" si="2"/>
        <v>360</v>
      </c>
      <c r="M6" s="7">
        <f t="shared" si="3"/>
        <v>2040</v>
      </c>
      <c r="N6" s="8">
        <f t="shared" si="4"/>
        <v>1680</v>
      </c>
      <c r="O6" s="7">
        <f t="shared" si="5"/>
        <v>360</v>
      </c>
      <c r="P6" s="10" t="str">
        <f t="shared" si="6"/>
        <v>Jan</v>
      </c>
      <c r="Q6" s="10">
        <f t="shared" si="7"/>
        <v>1</v>
      </c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>
        <v>1006.0</v>
      </c>
      <c r="B7" s="5">
        <v>46028.0</v>
      </c>
      <c r="C7" s="4" t="s">
        <v>61</v>
      </c>
      <c r="D7" s="4" t="s">
        <v>36</v>
      </c>
      <c r="E7" s="4" t="s">
        <v>19</v>
      </c>
      <c r="F7" s="4" t="s">
        <v>34</v>
      </c>
      <c r="G7" s="4">
        <v>1.0</v>
      </c>
      <c r="H7" s="4">
        <v>32000.0</v>
      </c>
      <c r="I7" s="6">
        <v>0.08</v>
      </c>
      <c r="J7" s="4" t="s">
        <v>21</v>
      </c>
      <c r="K7" s="7">
        <f t="shared" si="1"/>
        <v>32000</v>
      </c>
      <c r="L7" s="7">
        <f t="shared" si="2"/>
        <v>2560</v>
      </c>
      <c r="M7" s="7">
        <f t="shared" si="3"/>
        <v>29440</v>
      </c>
      <c r="N7" s="8">
        <f t="shared" si="4"/>
        <v>22400</v>
      </c>
      <c r="O7" s="7">
        <f t="shared" si="5"/>
        <v>7040</v>
      </c>
      <c r="P7" s="10" t="str">
        <f t="shared" si="6"/>
        <v>Jan</v>
      </c>
      <c r="Q7" s="10">
        <f t="shared" si="7"/>
        <v>1</v>
      </c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>
        <v>1007.0</v>
      </c>
      <c r="B8" s="5">
        <v>46029.0</v>
      </c>
      <c r="C8" s="4" t="s">
        <v>62</v>
      </c>
      <c r="D8" s="4" t="s">
        <v>30</v>
      </c>
      <c r="E8" s="4" t="s">
        <v>33</v>
      </c>
      <c r="F8" s="4" t="s">
        <v>48</v>
      </c>
      <c r="G8" s="4">
        <v>2.0</v>
      </c>
      <c r="H8" s="4">
        <v>1800.0</v>
      </c>
      <c r="I8" s="6">
        <v>0.05</v>
      </c>
      <c r="J8" s="4" t="s">
        <v>37</v>
      </c>
      <c r="K8" s="7">
        <f t="shared" si="1"/>
        <v>3600</v>
      </c>
      <c r="L8" s="7">
        <f t="shared" si="2"/>
        <v>180</v>
      </c>
      <c r="M8" s="7">
        <f t="shared" si="3"/>
        <v>3420</v>
      </c>
      <c r="N8" s="8">
        <f t="shared" si="4"/>
        <v>2520</v>
      </c>
      <c r="O8" s="7">
        <f t="shared" si="5"/>
        <v>900</v>
      </c>
      <c r="P8" s="10" t="str">
        <f t="shared" si="6"/>
        <v>Jan</v>
      </c>
      <c r="Q8" s="10">
        <f t="shared" si="7"/>
        <v>1</v>
      </c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>
        <v>1008.0</v>
      </c>
      <c r="B9" s="5">
        <v>46030.0</v>
      </c>
      <c r="C9" s="4" t="s">
        <v>67</v>
      </c>
      <c r="D9" s="4" t="s">
        <v>38</v>
      </c>
      <c r="E9" s="4" t="s">
        <v>50</v>
      </c>
      <c r="F9" s="4" t="s">
        <v>58</v>
      </c>
      <c r="G9" s="4">
        <v>1.0</v>
      </c>
      <c r="H9" s="4">
        <v>7500.0</v>
      </c>
      <c r="I9" s="6">
        <v>0.1</v>
      </c>
      <c r="J9" s="4" t="s">
        <v>21</v>
      </c>
      <c r="K9" s="7">
        <f t="shared" si="1"/>
        <v>7500</v>
      </c>
      <c r="L9" s="7">
        <f t="shared" si="2"/>
        <v>750</v>
      </c>
      <c r="M9" s="7">
        <f t="shared" si="3"/>
        <v>6750</v>
      </c>
      <c r="N9" s="8">
        <f t="shared" si="4"/>
        <v>5250</v>
      </c>
      <c r="O9" s="7">
        <f t="shared" si="5"/>
        <v>1500</v>
      </c>
      <c r="P9" s="10" t="str">
        <f t="shared" si="6"/>
        <v>Jan</v>
      </c>
      <c r="Q9" s="10">
        <f t="shared" si="7"/>
        <v>1</v>
      </c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>
        <v>1009.0</v>
      </c>
      <c r="B10" s="5">
        <v>46031.0</v>
      </c>
      <c r="C10" s="4" t="s">
        <v>77</v>
      </c>
      <c r="D10" s="4" t="s">
        <v>39</v>
      </c>
      <c r="E10" s="4" t="s">
        <v>19</v>
      </c>
      <c r="F10" s="4" t="s">
        <v>20</v>
      </c>
      <c r="G10" s="4">
        <v>1.0</v>
      </c>
      <c r="H10" s="4">
        <v>12000.0</v>
      </c>
      <c r="I10" s="6">
        <v>0.05</v>
      </c>
      <c r="J10" s="4" t="s">
        <v>37</v>
      </c>
      <c r="K10" s="7">
        <f t="shared" si="1"/>
        <v>12000</v>
      </c>
      <c r="L10" s="7">
        <f t="shared" si="2"/>
        <v>600</v>
      </c>
      <c r="M10" s="7">
        <f t="shared" si="3"/>
        <v>11400</v>
      </c>
      <c r="N10" s="8">
        <f t="shared" si="4"/>
        <v>8400</v>
      </c>
      <c r="O10" s="7">
        <f t="shared" si="5"/>
        <v>3000</v>
      </c>
      <c r="P10" s="10" t="str">
        <f t="shared" si="6"/>
        <v>Jan</v>
      </c>
      <c r="Q10" s="10">
        <f t="shared" si="7"/>
        <v>1</v>
      </c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>
        <v>1010.0</v>
      </c>
      <c r="B11" s="5">
        <v>46032.0</v>
      </c>
      <c r="C11" s="4" t="s">
        <v>82</v>
      </c>
      <c r="D11" s="4" t="s">
        <v>29</v>
      </c>
      <c r="E11" s="4" t="s">
        <v>33</v>
      </c>
      <c r="F11" s="4" t="s">
        <v>34</v>
      </c>
      <c r="G11" s="4">
        <v>2.0</v>
      </c>
      <c r="H11" s="4">
        <v>2200.0</v>
      </c>
      <c r="I11" s="6">
        <v>0.1</v>
      </c>
      <c r="J11" s="4" t="s">
        <v>59</v>
      </c>
      <c r="K11" s="7">
        <f t="shared" si="1"/>
        <v>4400</v>
      </c>
      <c r="L11" s="7">
        <f t="shared" si="2"/>
        <v>440</v>
      </c>
      <c r="M11" s="7">
        <f t="shared" si="3"/>
        <v>3960</v>
      </c>
      <c r="N11" s="8">
        <f t="shared" si="4"/>
        <v>3080</v>
      </c>
      <c r="O11" s="7">
        <f t="shared" si="5"/>
        <v>880</v>
      </c>
      <c r="P11" s="10" t="str">
        <f t="shared" si="6"/>
        <v>Jan</v>
      </c>
      <c r="Q11" s="10">
        <f t="shared" si="7"/>
        <v>1</v>
      </c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>
        <v>1011.0</v>
      </c>
      <c r="B12" s="5">
        <v>46033.0</v>
      </c>
      <c r="C12" s="4" t="s">
        <v>83</v>
      </c>
      <c r="D12" s="4" t="s">
        <v>28</v>
      </c>
      <c r="E12" s="4" t="s">
        <v>19</v>
      </c>
      <c r="F12" s="4" t="s">
        <v>48</v>
      </c>
      <c r="G12" s="4">
        <v>2.0</v>
      </c>
      <c r="H12" s="4">
        <v>1500.0</v>
      </c>
      <c r="I12" s="6">
        <v>0.0</v>
      </c>
      <c r="J12" s="4" t="s">
        <v>21</v>
      </c>
      <c r="K12" s="7">
        <f t="shared" si="1"/>
        <v>3000</v>
      </c>
      <c r="L12" s="7">
        <f t="shared" si="2"/>
        <v>0</v>
      </c>
      <c r="M12" s="7">
        <f t="shared" si="3"/>
        <v>3000</v>
      </c>
      <c r="N12" s="8">
        <f t="shared" si="4"/>
        <v>2100</v>
      </c>
      <c r="O12" s="7">
        <f t="shared" si="5"/>
        <v>900</v>
      </c>
      <c r="P12" s="10" t="str">
        <f t="shared" si="6"/>
        <v>Jan</v>
      </c>
      <c r="Q12" s="10">
        <f t="shared" si="7"/>
        <v>1</v>
      </c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>
        <v>1012.0</v>
      </c>
      <c r="B13" s="5">
        <v>46034.0</v>
      </c>
      <c r="C13" s="4" t="s">
        <v>84</v>
      </c>
      <c r="D13" s="4" t="s">
        <v>24</v>
      </c>
      <c r="E13" s="4" t="s">
        <v>50</v>
      </c>
      <c r="F13" s="4" t="s">
        <v>58</v>
      </c>
      <c r="G13" s="4">
        <v>2.0</v>
      </c>
      <c r="H13" s="4">
        <v>1200.0</v>
      </c>
      <c r="I13" s="6">
        <v>0.05</v>
      </c>
      <c r="J13" s="4" t="s">
        <v>37</v>
      </c>
      <c r="K13" s="7">
        <f t="shared" si="1"/>
        <v>2400</v>
      </c>
      <c r="L13" s="7">
        <f t="shared" si="2"/>
        <v>120</v>
      </c>
      <c r="M13" s="7">
        <f t="shared" si="3"/>
        <v>2280</v>
      </c>
      <c r="N13" s="8">
        <f t="shared" si="4"/>
        <v>1680</v>
      </c>
      <c r="O13" s="7">
        <f t="shared" si="5"/>
        <v>600</v>
      </c>
      <c r="P13" s="10" t="str">
        <f t="shared" si="6"/>
        <v>Jan</v>
      </c>
      <c r="Q13" s="10">
        <f t="shared" si="7"/>
        <v>1</v>
      </c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>
        <v>1013.0</v>
      </c>
      <c r="B14" s="5">
        <v>46035.0</v>
      </c>
      <c r="C14" s="4" t="s">
        <v>85</v>
      </c>
      <c r="D14" s="4" t="s">
        <v>32</v>
      </c>
      <c r="E14" s="4" t="s">
        <v>63</v>
      </c>
      <c r="F14" s="4" t="s">
        <v>20</v>
      </c>
      <c r="G14" s="4">
        <v>1.0</v>
      </c>
      <c r="H14" s="4">
        <v>5000.0</v>
      </c>
      <c r="I14" s="6">
        <v>0.1</v>
      </c>
      <c r="J14" s="4" t="s">
        <v>21</v>
      </c>
      <c r="K14" s="7">
        <f t="shared" si="1"/>
        <v>5000</v>
      </c>
      <c r="L14" s="7">
        <f t="shared" si="2"/>
        <v>500</v>
      </c>
      <c r="M14" s="7">
        <f t="shared" si="3"/>
        <v>4500</v>
      </c>
      <c r="N14" s="8">
        <f t="shared" si="4"/>
        <v>3500</v>
      </c>
      <c r="O14" s="7">
        <f t="shared" si="5"/>
        <v>1000</v>
      </c>
      <c r="P14" s="10" t="str">
        <f t="shared" si="6"/>
        <v>Jan</v>
      </c>
      <c r="Q14" s="10">
        <f t="shared" si="7"/>
        <v>1</v>
      </c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>
        <v>1014.0</v>
      </c>
      <c r="B15" s="5">
        <v>46036.0</v>
      </c>
      <c r="C15" s="4" t="s">
        <v>86</v>
      </c>
      <c r="D15" s="4" t="s">
        <v>42</v>
      </c>
      <c r="E15" s="4" t="s">
        <v>33</v>
      </c>
      <c r="F15" s="4" t="s">
        <v>34</v>
      </c>
      <c r="G15" s="4">
        <v>1.0</v>
      </c>
      <c r="H15" s="4">
        <v>3500.0</v>
      </c>
      <c r="I15" s="6">
        <v>0.15</v>
      </c>
      <c r="J15" s="4" t="s">
        <v>37</v>
      </c>
      <c r="K15" s="7">
        <f t="shared" si="1"/>
        <v>3500</v>
      </c>
      <c r="L15" s="7">
        <f t="shared" si="2"/>
        <v>525</v>
      </c>
      <c r="M15" s="7">
        <f t="shared" si="3"/>
        <v>2975</v>
      </c>
      <c r="N15" s="8">
        <f t="shared" si="4"/>
        <v>2450</v>
      </c>
      <c r="O15" s="7">
        <f t="shared" si="5"/>
        <v>525</v>
      </c>
      <c r="P15" s="10" t="str">
        <f t="shared" si="6"/>
        <v>Jan</v>
      </c>
      <c r="Q15" s="10">
        <f t="shared" si="7"/>
        <v>1</v>
      </c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>
        <v>1015.0</v>
      </c>
      <c r="B16" s="5">
        <v>46037.0</v>
      </c>
      <c r="C16" s="4" t="s">
        <v>87</v>
      </c>
      <c r="D16" s="4" t="s">
        <v>35</v>
      </c>
      <c r="E16" s="4" t="s">
        <v>19</v>
      </c>
      <c r="F16" s="4" t="s">
        <v>48</v>
      </c>
      <c r="G16" s="4">
        <v>1.0</v>
      </c>
      <c r="H16" s="4">
        <v>18000.0</v>
      </c>
      <c r="I16" s="6">
        <v>0.05</v>
      </c>
      <c r="J16" s="4" t="s">
        <v>21</v>
      </c>
      <c r="K16" s="7">
        <f t="shared" si="1"/>
        <v>18000</v>
      </c>
      <c r="L16" s="7">
        <f t="shared" si="2"/>
        <v>900</v>
      </c>
      <c r="M16" s="7">
        <f t="shared" si="3"/>
        <v>17100</v>
      </c>
      <c r="N16" s="8">
        <f t="shared" si="4"/>
        <v>12600</v>
      </c>
      <c r="O16" s="7">
        <f t="shared" si="5"/>
        <v>4500</v>
      </c>
      <c r="P16" s="10" t="str">
        <f t="shared" si="6"/>
        <v>Jan</v>
      </c>
      <c r="Q16" s="10">
        <f t="shared" si="7"/>
        <v>1</v>
      </c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K17" s="3"/>
      <c r="L17" s="3"/>
      <c r="M17" s="3"/>
      <c r="N17" s="3"/>
      <c r="O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C18" s="3"/>
      <c r="D18" s="20" t="s">
        <v>88</v>
      </c>
      <c r="E18" s="3"/>
      <c r="F18" s="3"/>
      <c r="G18" s="3"/>
      <c r="H18" s="3"/>
      <c r="I18" s="3"/>
      <c r="J18" s="3"/>
      <c r="K18" s="3"/>
      <c r="L18" s="3"/>
      <c r="M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2" t="s">
        <v>89</v>
      </c>
      <c r="C20" s="2" t="s">
        <v>90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21" t="s">
        <v>0</v>
      </c>
      <c r="C21" s="22">
        <f>COUNTBLANK(A2:A16)</f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21" t="s">
        <v>1</v>
      </c>
      <c r="C22" s="22">
        <f>COUNTBLANK(B2:B16)</f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21" t="s">
        <v>2</v>
      </c>
      <c r="C23" s="22">
        <f>COUNTBLANK(C2:C16)</f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21" t="s">
        <v>3</v>
      </c>
      <c r="C24" s="22">
        <f>COUNTBLANK(D2:D16)</f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21" t="s">
        <v>4</v>
      </c>
      <c r="C25" s="22">
        <f>COUNTBLANK(E2:E16)</f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21" t="s">
        <v>5</v>
      </c>
      <c r="C26" s="22">
        <f>COUNTBLANK(F2:F16)</f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21" t="s">
        <v>6</v>
      </c>
      <c r="C27" s="22">
        <f>COUNTBLANK(G2:G16)</f>
        <v>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21" t="s">
        <v>7</v>
      </c>
      <c r="C28" s="22">
        <f>COUNTBLANK(H2:H16)</f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21" t="s">
        <v>8</v>
      </c>
      <c r="C29" s="22">
        <f>COUNTBLANK(I2:I16)</f>
        <v>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21" t="s">
        <v>9</v>
      </c>
      <c r="C30" s="22">
        <f>COUNTBLANK(J2:J16)</f>
        <v>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75"/>
  </cols>
  <sheetData>
    <row r="1">
      <c r="E1" s="13" t="s">
        <v>44</v>
      </c>
    </row>
    <row r="2">
      <c r="E2" s="16">
        <f t="shared" ref="E2:E5" si="1">C2/B2</f>
        <v>0.2423900789</v>
      </c>
    </row>
    <row r="3">
      <c r="E3" s="16">
        <f t="shared" si="1"/>
        <v>0.2169280852</v>
      </c>
    </row>
    <row r="4">
      <c r="E4" s="16">
        <f t="shared" si="1"/>
        <v>0.2589723728</v>
      </c>
    </row>
    <row r="5">
      <c r="E5" s="16">
        <f t="shared" si="1"/>
        <v>0.2222222222</v>
      </c>
    </row>
    <row r="6"/>
    <row r="9">
      <c r="A9" s="14" t="s">
        <v>64</v>
      </c>
      <c r="D9" s="17" t="s">
        <v>65</v>
      </c>
    </row>
    <row r="11">
      <c r="A11" s="13" t="s">
        <v>66</v>
      </c>
    </row>
    <row r="12">
      <c r="A12" s="13" t="s">
        <v>68</v>
      </c>
    </row>
    <row r="13">
      <c r="A13" s="13" t="s">
        <v>69</v>
      </c>
    </row>
    <row r="14">
      <c r="A14" s="13" t="s">
        <v>70</v>
      </c>
    </row>
    <row r="16">
      <c r="A16" s="13" t="s">
        <v>71</v>
      </c>
    </row>
    <row r="18">
      <c r="A18" s="13" t="s">
        <v>72</v>
      </c>
    </row>
    <row r="20">
      <c r="A20" s="13" t="s">
        <v>73</v>
      </c>
    </row>
    <row r="22">
      <c r="A22" s="18" t="s">
        <v>74</v>
      </c>
      <c r="B22" s="19"/>
      <c r="C22" s="19"/>
    </row>
    <row r="23">
      <c r="A23" s="13" t="s">
        <v>75</v>
      </c>
    </row>
    <row r="24">
      <c r="A24" s="13" t="s">
        <v>76</v>
      </c>
    </row>
    <row r="25">
      <c r="A25" s="13" t="s">
        <v>78</v>
      </c>
    </row>
    <row r="26">
      <c r="A26" s="13" t="s">
        <v>79</v>
      </c>
    </row>
    <row r="27">
      <c r="A27" s="13" t="s">
        <v>80</v>
      </c>
    </row>
    <row r="29">
      <c r="A29" s="13" t="s">
        <v>81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0"/>
    <col customWidth="1" min="3" max="3" width="18.63"/>
  </cols>
  <sheetData>
    <row r="1"/>
    <row r="2"/>
    <row r="3"/>
    <row r="4"/>
    <row r="5"/>
    <row r="6"/>
    <row r="7"/>
    <row r="9">
      <c r="A9" s="14" t="s">
        <v>47</v>
      </c>
    </row>
    <row r="10">
      <c r="A10" s="13" t="s">
        <v>51</v>
      </c>
    </row>
    <row r="11">
      <c r="A11" s="13" t="s">
        <v>52</v>
      </c>
    </row>
    <row r="12">
      <c r="A12" s="13" t="s">
        <v>54</v>
      </c>
    </row>
    <row r="13">
      <c r="A13" s="13" t="s">
        <v>55</v>
      </c>
    </row>
    <row r="14">
      <c r="A14" s="13" t="s">
        <v>56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9">
      <c r="A19" s="14" t="s">
        <v>49</v>
      </c>
    </row>
    <row r="20">
      <c r="A20" s="15" t="s">
        <v>53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20">
      <c r="A20" s="14" t="s">
        <v>91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6.13"/>
    <col customWidth="1" min="3" max="3" width="18.63"/>
    <col customWidth="1" min="4" max="26" width="16.13"/>
  </cols>
  <sheetData>
    <row r="1"/>
    <row r="2"/>
    <row r="3"/>
    <row r="4"/>
    <row r="5"/>
    <row r="8">
      <c r="A8" s="14" t="s">
        <v>92</v>
      </c>
    </row>
    <row r="10">
      <c r="A10" s="15" t="s">
        <v>93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38"/>
  </cols>
  <sheetData>
    <row r="1">
      <c r="D1" s="13" t="s">
        <v>44</v>
      </c>
    </row>
    <row r="2">
      <c r="D2" s="16">
        <f t="shared" ref="D2:D16" si="1">C2/B2</f>
        <v>0.2631578947</v>
      </c>
    </row>
    <row r="3">
      <c r="D3" s="16">
        <f t="shared" si="1"/>
        <v>0.2391304348</v>
      </c>
    </row>
    <row r="4">
      <c r="D4" s="16">
        <f t="shared" si="1"/>
        <v>0.2631578947</v>
      </c>
    </row>
    <row r="5">
      <c r="D5" s="16">
        <f t="shared" si="1"/>
        <v>0.2631578947</v>
      </c>
    </row>
    <row r="6">
      <c r="D6" s="16">
        <f t="shared" si="1"/>
        <v>0.2222222222</v>
      </c>
    </row>
    <row r="7">
      <c r="D7" s="16">
        <f t="shared" si="1"/>
        <v>0.2631578947</v>
      </c>
    </row>
    <row r="8">
      <c r="D8" s="16">
        <f t="shared" si="1"/>
        <v>0.2222222222</v>
      </c>
    </row>
    <row r="9">
      <c r="D9" s="16">
        <f t="shared" si="1"/>
        <v>0.2222222222</v>
      </c>
    </row>
    <row r="10">
      <c r="D10" s="16">
        <f t="shared" si="1"/>
        <v>0.3</v>
      </c>
    </row>
    <row r="11">
      <c r="D11" s="16">
        <f t="shared" si="1"/>
        <v>0.3</v>
      </c>
    </row>
    <row r="12">
      <c r="D12" s="16">
        <f t="shared" si="1"/>
        <v>0.2631578947</v>
      </c>
    </row>
    <row r="13">
      <c r="D13" s="16">
        <f t="shared" si="1"/>
        <v>0.2222222222</v>
      </c>
    </row>
    <row r="14">
      <c r="D14" s="16">
        <f t="shared" si="1"/>
        <v>0.2631578947</v>
      </c>
    </row>
    <row r="15">
      <c r="D15" s="16">
        <f t="shared" si="1"/>
        <v>0.1764705882</v>
      </c>
    </row>
    <row r="16">
      <c r="D16" s="16">
        <f t="shared" si="1"/>
        <v>0.1764705882</v>
      </c>
    </row>
    <row r="17"/>
    <row r="19">
      <c r="A19" s="14" t="s">
        <v>96</v>
      </c>
      <c r="C19" s="17" t="s">
        <v>97</v>
      </c>
    </row>
    <row r="20">
      <c r="A20" s="15" t="s">
        <v>98</v>
      </c>
      <c r="D20" s="13" t="s">
        <v>100</v>
      </c>
    </row>
    <row r="21">
      <c r="A21" s="18" t="s">
        <v>101</v>
      </c>
    </row>
    <row r="22">
      <c r="A22" s="18" t="s">
        <v>102</v>
      </c>
    </row>
    <row r="23">
      <c r="A23" s="18"/>
    </row>
    <row r="24">
      <c r="A24" s="13" t="s">
        <v>103</v>
      </c>
    </row>
    <row r="26">
      <c r="A26" s="15" t="s">
        <v>104</v>
      </c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6">
      <c r="A6" s="14" t="s">
        <v>95</v>
      </c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13"/>
  </cols>
  <sheetData>
    <row r="1"/>
    <row r="2"/>
    <row r="3"/>
    <row r="4"/>
    <row r="5"/>
    <row r="6"/>
    <row r="9">
      <c r="A9" s="13" t="s">
        <v>109</v>
      </c>
    </row>
    <row r="11">
      <c r="A11" s="13" t="s">
        <v>110</v>
      </c>
    </row>
    <row r="13">
      <c r="A13" s="14" t="s">
        <v>111</v>
      </c>
    </row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25"/>
  </cols>
  <sheetData>
    <row r="1">
      <c r="C1" s="13" t="s">
        <v>99</v>
      </c>
    </row>
    <row r="2">
      <c r="C2" s="16">
        <f t="shared" ref="C2:C5" si="1">B2/$B$6</f>
        <v>0.0298230499</v>
      </c>
    </row>
    <row r="3">
      <c r="C3" s="16">
        <f t="shared" si="1"/>
        <v>0.7700311485</v>
      </c>
    </row>
    <row r="4">
      <c r="C4" s="16">
        <f t="shared" si="1"/>
        <v>0.111968984</v>
      </c>
    </row>
    <row r="5">
      <c r="C5" s="16">
        <f t="shared" si="1"/>
        <v>0.08817681755</v>
      </c>
    </row>
    <row r="6">
      <c r="C6" s="16"/>
    </row>
    <row r="11">
      <c r="A11" s="15" t="s">
        <v>105</v>
      </c>
      <c r="B11" s="23"/>
      <c r="C11" s="23"/>
    </row>
    <row r="12">
      <c r="A12" s="13" t="s">
        <v>106</v>
      </c>
    </row>
    <row r="14">
      <c r="A14" s="14" t="s">
        <v>107</v>
      </c>
    </row>
    <row r="15">
      <c r="A15" s="13" t="s">
        <v>108</v>
      </c>
    </row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7.88"/>
  </cols>
  <sheetData>
    <row r="1">
      <c r="A1" s="2" t="s">
        <v>112</v>
      </c>
      <c r="B1" s="2" t="s">
        <v>113</v>
      </c>
    </row>
    <row r="2">
      <c r="A2" s="24" t="s">
        <v>114</v>
      </c>
      <c r="B2" s="25">
        <f>sum('ecom database'!M2:M16)</f>
        <v>150890</v>
      </c>
    </row>
    <row r="3">
      <c r="A3" s="24" t="s">
        <v>115</v>
      </c>
      <c r="B3" s="25">
        <f>SUM('ecom database'!O2:O16)</f>
        <v>37980</v>
      </c>
    </row>
    <row r="4">
      <c r="A4" s="24" t="s">
        <v>116</v>
      </c>
      <c r="B4" s="22">
        <f>COUNTA('ecom database'!A2:A16)</f>
        <v>15</v>
      </c>
    </row>
    <row r="5">
      <c r="A5" s="24" t="s">
        <v>117</v>
      </c>
      <c r="B5" s="22">
        <f>SUM('ecom database'!G2:G16)</f>
        <v>22</v>
      </c>
    </row>
    <row r="6">
      <c r="A6" s="24" t="s">
        <v>118</v>
      </c>
      <c r="B6" s="25">
        <f>B2/B4</f>
        <v>10059.33333</v>
      </c>
    </row>
    <row r="7">
      <c r="A7" s="24" t="s">
        <v>119</v>
      </c>
      <c r="B7" s="25">
        <f>B3/B4</f>
        <v>2532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9.63"/>
  </cols>
  <sheetData>
    <row r="1">
      <c r="A1" s="26" t="s">
        <v>120</v>
      </c>
      <c r="B1" s="26" t="s">
        <v>121</v>
      </c>
    </row>
    <row r="2">
      <c r="A2" s="21" t="s">
        <v>122</v>
      </c>
      <c r="B2" s="21" t="s">
        <v>123</v>
      </c>
    </row>
    <row r="3">
      <c r="A3" s="21" t="s">
        <v>124</v>
      </c>
      <c r="B3" s="21" t="s">
        <v>125</v>
      </c>
    </row>
    <row r="4">
      <c r="A4" s="21" t="s">
        <v>126</v>
      </c>
      <c r="B4" s="21" t="s">
        <v>127</v>
      </c>
    </row>
    <row r="5">
      <c r="A5" s="21" t="s">
        <v>128</v>
      </c>
      <c r="B5" s="21" t="s">
        <v>129</v>
      </c>
    </row>
    <row r="6">
      <c r="A6" s="21" t="s">
        <v>130</v>
      </c>
      <c r="B6" s="21" t="s">
        <v>131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33.38"/>
  </cols>
  <sheetData>
    <row r="1">
      <c r="A1" s="27" t="s">
        <v>132</v>
      </c>
    </row>
    <row r="2">
      <c r="A2" s="28"/>
      <c r="B2" s="28"/>
      <c r="C2" s="28"/>
      <c r="D2" s="29" t="s">
        <v>133</v>
      </c>
      <c r="J2" s="28"/>
      <c r="K2" s="28"/>
      <c r="L2" s="28"/>
    </row>
    <row r="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>
      <c r="A5" s="30"/>
      <c r="B5" s="30"/>
      <c r="C5" s="30"/>
      <c r="D5" s="30"/>
      <c r="E5" s="30"/>
      <c r="F5" s="31" t="s">
        <v>112</v>
      </c>
      <c r="G5" s="31" t="s">
        <v>113</v>
      </c>
      <c r="H5" s="30"/>
      <c r="I5" s="30"/>
      <c r="J5" s="30"/>
      <c r="K5" s="30"/>
      <c r="L5" s="30"/>
    </row>
    <row r="6">
      <c r="A6" s="30"/>
      <c r="B6" s="30"/>
      <c r="C6" s="30"/>
      <c r="D6" s="30"/>
      <c r="E6" s="30"/>
      <c r="F6" s="32" t="s">
        <v>114</v>
      </c>
      <c r="G6" s="33" t="s">
        <v>134</v>
      </c>
      <c r="H6" s="30"/>
      <c r="I6" s="30"/>
      <c r="J6" s="30"/>
      <c r="K6" s="30"/>
      <c r="L6" s="30"/>
    </row>
    <row r="7">
      <c r="A7" s="30"/>
      <c r="B7" s="30"/>
      <c r="C7" s="30"/>
      <c r="D7" s="30"/>
      <c r="E7" s="30"/>
      <c r="F7" s="32" t="s">
        <v>115</v>
      </c>
      <c r="G7" s="33" t="s">
        <v>135</v>
      </c>
      <c r="H7" s="30"/>
      <c r="I7" s="30"/>
      <c r="J7" s="30"/>
      <c r="K7" s="30"/>
      <c r="L7" s="30"/>
    </row>
    <row r="8">
      <c r="A8" s="30"/>
      <c r="B8" s="30"/>
      <c r="C8" s="30"/>
      <c r="D8" s="30"/>
      <c r="E8" s="30"/>
      <c r="F8" s="32" t="s">
        <v>116</v>
      </c>
      <c r="G8" s="33">
        <v>15.0</v>
      </c>
      <c r="H8" s="30"/>
      <c r="I8" s="30"/>
      <c r="J8" s="30"/>
      <c r="K8" s="30"/>
      <c r="L8" s="30"/>
    </row>
    <row r="9">
      <c r="A9" s="30"/>
      <c r="B9" s="30"/>
      <c r="C9" s="30"/>
      <c r="D9" s="30"/>
      <c r="E9" s="30"/>
      <c r="F9" s="32" t="s">
        <v>117</v>
      </c>
      <c r="G9" s="33">
        <v>22.0</v>
      </c>
      <c r="H9" s="30"/>
      <c r="I9" s="30"/>
      <c r="J9" s="30"/>
      <c r="K9" s="30"/>
      <c r="L9" s="30"/>
    </row>
    <row r="10">
      <c r="A10" s="30"/>
      <c r="B10" s="30"/>
      <c r="C10" s="30"/>
      <c r="D10" s="30"/>
      <c r="E10" s="30"/>
      <c r="F10" s="32" t="s">
        <v>118</v>
      </c>
      <c r="G10" s="33" t="s">
        <v>136</v>
      </c>
      <c r="H10" s="30"/>
      <c r="I10" s="30"/>
      <c r="J10" s="30"/>
      <c r="K10" s="30"/>
      <c r="L10" s="30"/>
    </row>
    <row r="11">
      <c r="A11" s="30"/>
      <c r="B11" s="30"/>
      <c r="C11" s="30"/>
      <c r="D11" s="30"/>
      <c r="E11" s="30"/>
      <c r="F11" s="32" t="s">
        <v>119</v>
      </c>
      <c r="G11" s="33" t="s">
        <v>137</v>
      </c>
      <c r="H11" s="30"/>
      <c r="I11" s="30"/>
      <c r="J11" s="30"/>
      <c r="K11" s="30"/>
      <c r="L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</row>
    <row r="32">
      <c r="A32" s="34" t="s">
        <v>138</v>
      </c>
    </row>
    <row r="33">
      <c r="A33" s="35" t="s">
        <v>139</v>
      </c>
      <c r="B33" s="36"/>
      <c r="C33" s="36"/>
      <c r="D33" s="36"/>
      <c r="E33" s="37"/>
      <c r="F33" s="37"/>
      <c r="G33" s="37"/>
      <c r="H33" s="37"/>
      <c r="I33" s="37"/>
      <c r="J33" s="37"/>
      <c r="K33" s="37"/>
      <c r="L33" s="37"/>
    </row>
    <row r="34">
      <c r="A34" s="35" t="s">
        <v>140</v>
      </c>
      <c r="B34" s="36"/>
      <c r="C34" s="36"/>
      <c r="D34" s="36"/>
      <c r="E34" s="37"/>
      <c r="F34" s="37"/>
      <c r="G34" s="37"/>
      <c r="H34" s="37"/>
      <c r="I34" s="37"/>
      <c r="J34" s="37"/>
      <c r="K34" s="37"/>
      <c r="L34" s="37"/>
    </row>
    <row r="35">
      <c r="A35" s="35" t="s">
        <v>141</v>
      </c>
      <c r="B35" s="36"/>
      <c r="C35" s="36"/>
      <c r="D35" s="36"/>
      <c r="E35" s="37"/>
      <c r="F35" s="37"/>
      <c r="G35" s="37"/>
      <c r="H35" s="37"/>
      <c r="I35" s="37"/>
      <c r="J35" s="37"/>
      <c r="K35" s="37"/>
      <c r="L35" s="37"/>
    </row>
    <row r="36">
      <c r="A36" s="35" t="s">
        <v>142</v>
      </c>
      <c r="B36" s="36"/>
      <c r="C36" s="36"/>
      <c r="D36" s="36"/>
      <c r="E36" s="37"/>
      <c r="F36" s="37"/>
      <c r="G36" s="37"/>
      <c r="H36" s="37"/>
      <c r="I36" s="37"/>
      <c r="J36" s="37"/>
      <c r="K36" s="37"/>
      <c r="L36" s="37"/>
    </row>
    <row r="37">
      <c r="A37" s="35" t="s">
        <v>143</v>
      </c>
      <c r="B37" s="36"/>
      <c r="C37" s="36"/>
      <c r="D37" s="36"/>
      <c r="E37" s="37"/>
      <c r="F37" s="37"/>
      <c r="G37" s="37"/>
      <c r="H37" s="37"/>
      <c r="I37" s="37"/>
      <c r="J37" s="37"/>
      <c r="K37" s="37"/>
      <c r="L37" s="37"/>
    </row>
    <row r="38">
      <c r="A38" s="35" t="s">
        <v>144</v>
      </c>
      <c r="B38" s="36"/>
      <c r="C38" s="36"/>
      <c r="D38" s="36"/>
      <c r="E38" s="37"/>
      <c r="F38" s="37"/>
      <c r="G38" s="37"/>
      <c r="H38" s="37"/>
      <c r="I38" s="37"/>
      <c r="J38" s="37"/>
      <c r="K38" s="37"/>
      <c r="L38" s="37"/>
    </row>
  </sheetData>
  <mergeCells count="3">
    <mergeCell ref="A1:L1"/>
    <mergeCell ref="D2:I2"/>
    <mergeCell ref="A32:L32"/>
  </mergeCells>
  <drawing r:id="rId1"/>
</worksheet>
</file>